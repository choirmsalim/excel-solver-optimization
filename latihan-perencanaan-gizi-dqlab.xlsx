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hackathon\008-HACKATHON-EXCEL-PRACTICE\SOAL\"/>
    </mc:Choice>
  </mc:AlternateContent>
  <xr:revisionPtr revIDLastSave="0" documentId="13_ncr:1_{95608347-B81F-40FB-8427-EEA54E5F5321}" xr6:coauthVersionLast="47" xr6:coauthVersionMax="47" xr10:uidLastSave="{00000000-0000-0000-0000-000000000000}"/>
  <bookViews>
    <workbookView xWindow="-108" yWindow="-108" windowWidth="23256" windowHeight="12456" xr2:uid="{681AAEA4-71DB-42EA-A2EE-EC2B9594C685}"/>
  </bookViews>
  <sheets>
    <sheet name="Bahan dan Menu" sheetId="1" r:id="rId1"/>
  </sheets>
  <definedNames>
    <definedName name="solver_adj" localSheetId="0" hidden="1">'Bahan dan Menu'!$B$21:$G$25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'Bahan dan Menu'!#REF!</definedName>
    <definedName name="solver_lhs2" localSheetId="0" hidden="1">'Bahan dan Menu'!#REF!</definedName>
    <definedName name="solver_lhs3" localSheetId="0" hidden="1">'Bahan dan Menu'!#REF!</definedName>
    <definedName name="solver_lhs4" localSheetId="0" hidden="1">'Bahan dan Menu'!$G$7:$G$11</definedName>
    <definedName name="solver_lhs5" localSheetId="0" hidden="1">'Bahan dan Menu'!$H$12</definedName>
    <definedName name="solver_lhs6" localSheetId="0" hidden="1">'Bahan dan Menu'!#REF!</definedName>
    <definedName name="solver_lhs7" localSheetId="0" hidden="1">'Bahan dan Menu'!#REF!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'Bahan dan Menu'!#REF!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el2" localSheetId="0" hidden="1">1</definedName>
    <definedName name="solver_rel3" localSheetId="0" hidden="1">1</definedName>
    <definedName name="solver_rel4" localSheetId="0" hidden="1">3</definedName>
    <definedName name="solver_rel5" localSheetId="0" hidden="1">1</definedName>
    <definedName name="solver_rel6" localSheetId="0" hidden="1">3</definedName>
    <definedName name="solver_rel7" localSheetId="0" hidden="1">3</definedName>
    <definedName name="solver_rhs1" localSheetId="0" hidden="1">1</definedName>
    <definedName name="solver_rhs2" localSheetId="0" hidden="1">'Bahan dan Menu'!#REF!</definedName>
    <definedName name="solver_rhs3" localSheetId="0" hidden="1">'Bahan dan Menu'!#REF!</definedName>
    <definedName name="solver_rhs4" localSheetId="0" hidden="1">'Bahan dan Menu'!$E$7:$E$11</definedName>
    <definedName name="solver_rhs5" localSheetId="0" hidden="1">'Bahan dan Menu'!$B$2</definedName>
    <definedName name="solver_rhs6" localSheetId="0" hidden="1">'Bahan dan Menu'!$B$3</definedName>
    <definedName name="solver_rhs7" localSheetId="0" hidden="1">'Bahan dan Menu'!$B$4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1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12" i="1" l="1"/>
</calcChain>
</file>

<file path=xl/sharedStrings.xml><?xml version="1.0" encoding="utf-8"?>
<sst xmlns="http://schemas.openxmlformats.org/spreadsheetml/2006/main" count="37" uniqueCount="32">
  <si>
    <t>Bahan makanan</t>
  </si>
  <si>
    <t>Harga per unit (Rp)</t>
  </si>
  <si>
    <t>Protein (g)</t>
  </si>
  <si>
    <t>Serat (g)</t>
  </si>
  <si>
    <t>Telur</t>
  </si>
  <si>
    <t>Tempe</t>
  </si>
  <si>
    <t>Ayam</t>
  </si>
  <si>
    <t>Bayam</t>
  </si>
  <si>
    <t>Oat</t>
  </si>
  <si>
    <t>Parameter</t>
  </si>
  <si>
    <t>Nilai</t>
  </si>
  <si>
    <t>Anggaran maksimum</t>
  </si>
  <si>
    <t>Target protein (gram)</t>
  </si>
  <si>
    <t>Target serat (gram)</t>
  </si>
  <si>
    <t>Minimum Pembelian (unit)</t>
  </si>
  <si>
    <t>Maksimum pembelian (unit)</t>
  </si>
  <si>
    <t>Biaya</t>
  </si>
  <si>
    <t>Jumlah Unit (Perencanaan)</t>
  </si>
  <si>
    <t>Protein (gram/kg berat)</t>
  </si>
  <si>
    <t>Demografi</t>
  </si>
  <si>
    <t>Serat (gram / hari)</t>
  </si>
  <si>
    <t>Senin</t>
  </si>
  <si>
    <t>Selasa</t>
  </si>
  <si>
    <t>Rabu</t>
  </si>
  <si>
    <t>Kamis</t>
  </si>
  <si>
    <t>Jumat</t>
  </si>
  <si>
    <t>Sabtu</t>
  </si>
  <si>
    <t>Bahan Makanan</t>
  </si>
  <si>
    <t>Kebutuhan Gizi Harian</t>
  </si>
  <si>
    <t>Berat Badan Dewasa</t>
  </si>
  <si>
    <t>Minimum</t>
  </si>
  <si>
    <t>Maksimum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</si>
</sst>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64" fontId="0" fillId="0" borderId="0" xfId="1" applyNumberFormat="1" applyFont="1"/>
    <xf numFmtId="164" fontId="0" fillId="0" borderId="0" xfId="1" applyNumberFormat="1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F8FD-1B5F-4DFB-B0D6-65A870A03537}">
  <dimension ref="A1:H25"/>
  <sheetViews>
    <sheetView tabSelected="1" workbookViewId="0">
      <selection activeCell="D24" sqref="D24"/>
    </sheetView>
  </sheetViews>
  <sheetFormatPr defaultRowHeight="14.4" x14ac:dyDescent="0.3"/>
  <cols>
    <col min="1" max="1" width="21.88671875" customWidth="1"/>
    <col min="2" max="2" width="20" customWidth="1"/>
    <col min="3" max="3" width="16.6640625" customWidth="1"/>
    <col min="4" max="4" width="15.6640625" customWidth="1"/>
    <col min="5" max="5" width="21.6640625" customWidth="1"/>
    <col min="6" max="6" width="24.44140625" customWidth="1"/>
    <col min="7" max="7" width="23.33203125" customWidth="1"/>
    <col min="8" max="8" width="16.44140625" customWidth="1"/>
  </cols>
  <sheetData>
    <row r="1" spans="1:8" x14ac:dyDescent="0.3">
      <c r="A1" s="1" t="s">
        <v>9</v>
      </c>
      <c r="B1" s="2" t="s">
        <v>10</v>
      </c>
    </row>
    <row r="2" spans="1:8" x14ac:dyDescent="0.3">
      <c r="A2" s="3" t="s">
        <v>11</v>
      </c>
      <c r="B2" s="5">
        <v>2000000</v>
      </c>
    </row>
    <row r="3" spans="1:8" x14ac:dyDescent="0.3">
      <c r="A3" s="3" t="s">
        <v>12</v>
      </c>
      <c r="B3" s="5">
        <v>2000</v>
      </c>
    </row>
    <row r="4" spans="1:8" x14ac:dyDescent="0.3">
      <c r="A4" s="3" t="s">
        <v>13</v>
      </c>
      <c r="B4" s="5">
        <v>500</v>
      </c>
    </row>
    <row r="5" spans="1:8" x14ac:dyDescent="0.3">
      <c r="H5" s="4"/>
    </row>
    <row r="6" spans="1:8" x14ac:dyDescent="0.3">
      <c r="A6" t="s">
        <v>0</v>
      </c>
      <c r="B6" t="s">
        <v>1</v>
      </c>
      <c r="C6" t="s">
        <v>2</v>
      </c>
      <c r="D6" t="s">
        <v>3</v>
      </c>
      <c r="E6" t="s">
        <v>14</v>
      </c>
      <c r="F6" t="s">
        <v>15</v>
      </c>
      <c r="G6" t="s">
        <v>17</v>
      </c>
      <c r="H6" t="s">
        <v>16</v>
      </c>
    </row>
    <row r="7" spans="1:8" x14ac:dyDescent="0.3">
      <c r="A7" t="s">
        <v>4</v>
      </c>
      <c r="B7" s="4">
        <v>30000</v>
      </c>
      <c r="C7">
        <v>36</v>
      </c>
      <c r="D7">
        <v>0</v>
      </c>
      <c r="E7">
        <v>5</v>
      </c>
      <c r="F7">
        <v>40</v>
      </c>
      <c r="G7">
        <v>1</v>
      </c>
      <c r="H7" s="4">
        <f>G7*B7</f>
        <v>30000</v>
      </c>
    </row>
    <row r="8" spans="1:8" x14ac:dyDescent="0.3">
      <c r="A8" t="s">
        <v>5</v>
      </c>
      <c r="B8" s="4">
        <v>15000</v>
      </c>
      <c r="C8">
        <v>20</v>
      </c>
      <c r="D8">
        <v>8</v>
      </c>
      <c r="E8">
        <v>5</v>
      </c>
      <c r="F8">
        <v>40</v>
      </c>
      <c r="G8">
        <v>1</v>
      </c>
      <c r="H8" s="4">
        <f>G8*B8</f>
        <v>15000</v>
      </c>
    </row>
    <row r="9" spans="1:8" x14ac:dyDescent="0.3">
      <c r="A9" t="s">
        <v>6</v>
      </c>
      <c r="B9" s="4">
        <v>40000</v>
      </c>
      <c r="C9">
        <v>31</v>
      </c>
      <c r="D9">
        <v>0</v>
      </c>
      <c r="E9">
        <v>1</v>
      </c>
      <c r="F9">
        <v>10</v>
      </c>
      <c r="G9">
        <v>1</v>
      </c>
      <c r="H9" s="4">
        <f>G9*B9</f>
        <v>40000</v>
      </c>
    </row>
    <row r="10" spans="1:8" x14ac:dyDescent="0.3">
      <c r="A10" t="s">
        <v>7</v>
      </c>
      <c r="B10" s="4">
        <v>10000</v>
      </c>
      <c r="C10">
        <v>3</v>
      </c>
      <c r="D10">
        <v>4</v>
      </c>
      <c r="E10">
        <v>5</v>
      </c>
      <c r="F10">
        <v>30</v>
      </c>
      <c r="G10">
        <v>1</v>
      </c>
      <c r="H10" s="4">
        <f>G10*B10</f>
        <v>10000</v>
      </c>
    </row>
    <row r="11" spans="1:8" x14ac:dyDescent="0.3">
      <c r="A11" t="s">
        <v>8</v>
      </c>
      <c r="B11" s="4">
        <v>25000</v>
      </c>
      <c r="C11">
        <v>13</v>
      </c>
      <c r="D11">
        <v>10</v>
      </c>
      <c r="E11">
        <v>5</v>
      </c>
      <c r="F11">
        <v>30</v>
      </c>
      <c r="G11">
        <v>1</v>
      </c>
      <c r="H11" s="4">
        <f>G11*B11</f>
        <v>25000</v>
      </c>
    </row>
    <row r="12" spans="1:8" x14ac:dyDescent="0.3">
      <c r="H12" s="4">
        <f>SUM(H7:H11)</f>
        <v>120000</v>
      </c>
    </row>
    <row r="14" spans="1:8" x14ac:dyDescent="0.3">
      <c r="A14" s="7" t="s">
        <v>28</v>
      </c>
    </row>
    <row r="15" spans="1:8" ht="16.2" customHeight="1" x14ac:dyDescent="0.3">
      <c r="A15" s="1" t="s">
        <v>19</v>
      </c>
      <c r="B15" s="1" t="s">
        <v>18</v>
      </c>
      <c r="C15" s="1" t="s">
        <v>20</v>
      </c>
    </row>
    <row r="16" spans="1:8" x14ac:dyDescent="0.3">
      <c r="A16" s="3" t="s">
        <v>30</v>
      </c>
      <c r="B16" s="3">
        <v>0.8</v>
      </c>
      <c r="C16">
        <v>25</v>
      </c>
    </row>
    <row r="17" spans="1:7" x14ac:dyDescent="0.3">
      <c r="A17" s="3" t="s">
        <v>31</v>
      </c>
      <c r="B17" s="3">
        <v>1</v>
      </c>
      <c r="C17">
        <v>30</v>
      </c>
    </row>
    <row r="18" spans="1:7" x14ac:dyDescent="0.3">
      <c r="A18" s="3"/>
      <c r="B18" s="3"/>
    </row>
    <row r="19" spans="1:7" x14ac:dyDescent="0.3">
      <c r="A19" s="3" t="s">
        <v>29</v>
      </c>
      <c r="B19" s="3">
        <v>60</v>
      </c>
    </row>
    <row r="20" spans="1:7" x14ac:dyDescent="0.3">
      <c r="A20" s="6" t="s">
        <v>27</v>
      </c>
      <c r="B20" s="6" t="s">
        <v>21</v>
      </c>
      <c r="C20" s="7" t="s">
        <v>22</v>
      </c>
      <c r="D20" s="7" t="s">
        <v>23</v>
      </c>
      <c r="E20" s="7" t="s">
        <v>24</v>
      </c>
      <c r="F20" s="7" t="s">
        <v>25</v>
      </c>
      <c r="G20" s="7" t="s">
        <v>26</v>
      </c>
    </row>
    <row r="21" spans="1:7" x14ac:dyDescent="0.3">
      <c r="A21" t="s">
        <v>4</v>
      </c>
      <c r="B21" s="3">
        <v>0.1</v>
      </c>
      <c r="C21" s="3">
        <v>0.1</v>
      </c>
      <c r="D21" s="3">
        <v>0.1</v>
      </c>
      <c r="E21" s="3">
        <v>0.1</v>
      </c>
      <c r="F21" s="3">
        <v>0.1</v>
      </c>
      <c r="G21" s="3">
        <v>0.1</v>
      </c>
    </row>
    <row r="22" spans="1:7" x14ac:dyDescent="0.3">
      <c r="A22" t="s">
        <v>5</v>
      </c>
      <c r="B22" s="3">
        <v>0.1</v>
      </c>
      <c r="C22" s="3">
        <v>0.1</v>
      </c>
      <c r="D22" s="3">
        <v>0.1</v>
      </c>
      <c r="E22" s="3">
        <v>0.1</v>
      </c>
      <c r="F22" s="3">
        <v>0.1</v>
      </c>
      <c r="G22" s="3">
        <v>0.1</v>
      </c>
    </row>
    <row r="23" spans="1:7" x14ac:dyDescent="0.3">
      <c r="A23" t="s">
        <v>6</v>
      </c>
      <c r="B23" s="3">
        <v>0.1</v>
      </c>
      <c r="C23" s="3">
        <v>0.1</v>
      </c>
      <c r="D23" s="3">
        <v>0.1</v>
      </c>
      <c r="E23" s="3">
        <v>0.1</v>
      </c>
      <c r="F23" s="3">
        <v>0.1</v>
      </c>
      <c r="G23" s="3">
        <v>0.1</v>
      </c>
    </row>
    <row r="24" spans="1:7" x14ac:dyDescent="0.3">
      <c r="A24" t="s">
        <v>7</v>
      </c>
      <c r="B24" s="3">
        <v>0.1</v>
      </c>
      <c r="C24" s="3">
        <v>0.1</v>
      </c>
      <c r="D24" s="3">
        <v>0.1</v>
      </c>
      <c r="E24" s="3">
        <v>0.1</v>
      </c>
      <c r="F24" s="3">
        <v>0.1</v>
      </c>
      <c r="G24" s="3">
        <v>0.1</v>
      </c>
    </row>
    <row r="25" spans="1:7" x14ac:dyDescent="0.3">
      <c r="A25" t="s">
        <v>8</v>
      </c>
      <c r="B25" s="3">
        <v>0.1</v>
      </c>
      <c r="C25" s="3">
        <v>0.1</v>
      </c>
      <c r="D25" s="3">
        <v>0.1</v>
      </c>
      <c r="E25" s="3">
        <v>0.1</v>
      </c>
      <c r="F25" s="3">
        <v>0.1</v>
      </c>
      <c r="G25" s="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Bahan dan 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Feris Thia</dc:creator>
  <cp:lastModifiedBy>Feris Thia</cp:lastModifiedBy>
  <dcterms:created xsi:type="dcterms:W3CDTF">2026-10-10T00:29:10Z</dcterms:created>
  <dcterms:modified xsi:type="dcterms:W3CDTF">2026-10-10T02:55:21Z</dcterms:modified>
</cp:coreProperties>
</file>