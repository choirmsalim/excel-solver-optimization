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D:\projects\hackathon\008-HACKATHON-EXCEL-PRACTICE\SOAL\"/>
    </mc:Choice>
  </mc:AlternateContent>
  <xr:revisionPtr revIDLastSave="0" documentId="8_{D21D22FC-169B-4574-B154-13DD5565AB07}" xr6:coauthVersionLast="47" xr6:coauthVersionMax="47" xr10:uidLastSave="{00000000-0000-0000-0000-000000000000}"/>
  <bookViews>
    <workbookView xWindow="-108" yWindow="-108" windowWidth="23256" windowHeight="12456" xr2:uid="{681AAEA4-71DB-42EA-A2EE-EC2B9594C685}"/>
  </bookViews>
  <sheets>
    <sheet name="Bahan dan Menu" sheetId="1" r:id="rId1"/>
  </sheets>
  <definedNames>
    <definedName name="solver_chc1" localSheetId="0" hidden="1">0</definedName>
    <definedName name="solver_chc10" localSheetId="0" hidden="1">0</definedName>
    <definedName name="solver_chc11" localSheetId="0" hidden="1">0</definedName>
    <definedName name="solver_chc2" localSheetId="0" hidden="1">0</definedName>
    <definedName name="solver_chc3" localSheetId="0" hidden="1">0</definedName>
    <definedName name="solver_chc4" localSheetId="0" hidden="1">0</definedName>
    <definedName name="solver_chc5" localSheetId="0" hidden="1">0</definedName>
    <definedName name="solver_chc6" localSheetId="0" hidden="1">0</definedName>
    <definedName name="solver_chc7" localSheetId="0" hidden="1">0</definedName>
    <definedName name="solver_chc8" localSheetId="0" hidden="1">0</definedName>
    <definedName name="solver_chc9" localSheetId="0" hidden="1">0</definedName>
    <definedName name="solver_chp1" localSheetId="0" hidden="1">0</definedName>
    <definedName name="solver_chp10" localSheetId="0" hidden="1">0</definedName>
    <definedName name="solver_chp11" localSheetId="0" hidden="1">0</definedName>
    <definedName name="solver_chp2" localSheetId="0" hidden="1">0</definedName>
    <definedName name="solver_chp3" localSheetId="0" hidden="1">0</definedName>
    <definedName name="solver_chp4" localSheetId="0" hidden="1">0</definedName>
    <definedName name="solver_chp5" localSheetId="0" hidden="1">0</definedName>
    <definedName name="solver_chp6" localSheetId="0" hidden="1">0</definedName>
    <definedName name="solver_chp7" localSheetId="0" hidden="1">0</definedName>
    <definedName name="solver_chp8" localSheetId="0" hidden="1">0</definedName>
    <definedName name="solver_chp9" localSheetId="0" hidden="1">0</definedName>
    <definedName name="solver_cir1" localSheetId="0" hidden="1">1</definedName>
    <definedName name="solver_cir10" localSheetId="0" hidden="1">1</definedName>
    <definedName name="solver_cir11" localSheetId="0" hidden="1">1</definedName>
    <definedName name="solver_cir2" localSheetId="0" hidden="1">1</definedName>
    <definedName name="solver_cir3" localSheetId="0" hidden="1">1</definedName>
    <definedName name="solver_cir4" localSheetId="0" hidden="1">1</definedName>
    <definedName name="solver_cir5" localSheetId="0" hidden="1">1</definedName>
    <definedName name="solver_cir6" localSheetId="0" hidden="1">1</definedName>
    <definedName name="solver_cir7" localSheetId="0" hidden="1">1</definedName>
    <definedName name="solver_cir8" localSheetId="0" hidden="1">1</definedName>
    <definedName name="solver_cir9" localSheetId="0" hidden="1">1</definedName>
    <definedName name="solver_con1" localSheetId="0" hidden="1">" "</definedName>
    <definedName name="solver_con10" localSheetId="0" hidden="1">" "</definedName>
    <definedName name="solver_con11" localSheetId="0" hidden="1">" "</definedName>
    <definedName name="solver_con2" localSheetId="0" hidden="1">" "</definedName>
    <definedName name="solver_con3" localSheetId="0" hidden="1">" "</definedName>
    <definedName name="solver_con4" localSheetId="0" hidden="1">" "</definedName>
    <definedName name="solver_con5" localSheetId="0" hidden="1">" "</definedName>
    <definedName name="solver_con6" localSheetId="0" hidden="1">" "</definedName>
    <definedName name="solver_con7" localSheetId="0" hidden="1">" "</definedName>
    <definedName name="solver_con8" localSheetId="0" hidden="1">" "</definedName>
    <definedName name="solver_con9" localSheetId="0" hidden="1">" "</definedName>
    <definedName name="solver_cri1" localSheetId="0" hidden="1">0</definedName>
    <definedName name="solver_cri10" localSheetId="0" hidden="1">0</definedName>
    <definedName name="solver_cri11" localSheetId="0" hidden="1">0</definedName>
    <definedName name="solver_cri2" localSheetId="0" hidden="1">0</definedName>
    <definedName name="solver_cri3" localSheetId="0" hidden="1">0</definedName>
    <definedName name="solver_cri4" localSheetId="0" hidden="1">0</definedName>
    <definedName name="solver_cri5" localSheetId="0" hidden="1">0</definedName>
    <definedName name="solver_cri6" localSheetId="0" hidden="1">0</definedName>
    <definedName name="solver_cri7" localSheetId="0" hidden="1">0</definedName>
    <definedName name="solver_cri8" localSheetId="0" hidden="1">0</definedName>
    <definedName name="solver_cri9" localSheetId="0" hidden="1">0</definedName>
    <definedName name="solver_criv" localSheetId="0" hidden="1">0</definedName>
    <definedName name="solver_criv1" localSheetId="0" hidden="1">0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_ob1" localSheetId="0" hidden="1">0</definedName>
    <definedName name="solver_lhs_ob10" localSheetId="0" hidden="1">0</definedName>
    <definedName name="solver_lhs_ob11" localSheetId="0" hidden="1">0</definedName>
    <definedName name="solver_lhs_ob2" localSheetId="0" hidden="1">0</definedName>
    <definedName name="solver_lhs_ob3" localSheetId="0" hidden="1">0</definedName>
    <definedName name="solver_lhs_ob4" localSheetId="0" hidden="1">0</definedName>
    <definedName name="solver_lhs_ob5" localSheetId="0" hidden="1">0</definedName>
    <definedName name="solver_lhs_ob6" localSheetId="0" hidden="1">0</definedName>
    <definedName name="solver_lhs_ob7" localSheetId="0" hidden="1">0</definedName>
    <definedName name="solver_lhs_ob8" localSheetId="0" hidden="1">0</definedName>
    <definedName name="solver_lhs_ob9" localSheetId="0" hidden="1">0</definedName>
    <definedName name="solver_lhs1" localSheetId="0" hidden="1">'Bahan dan Menu'!$G$7:$G$11</definedName>
    <definedName name="solver_lhs10" localSheetId="0" hidden="1">'Bahan dan Menu'!$G$7:$G$11</definedName>
    <definedName name="solver_lhs11" localSheetId="0" hidden="1">'Bahan dan Menu'!$B$16</definedName>
    <definedName name="solver_lhs2" localSheetId="0" hidden="1">'Bahan dan Menu'!$G$7:$G$11</definedName>
    <definedName name="solver_lhs3" localSheetId="0" hidden="1">'Bahan dan Menu'!$G$7:$G$11</definedName>
    <definedName name="solver_lhs4" localSheetId="0" hidden="1">'Bahan dan Menu'!$E$1</definedName>
    <definedName name="solver_lhs5" localSheetId="0" hidden="1">'Bahan dan Menu'!$E$2</definedName>
    <definedName name="solver_lhs6" localSheetId="0" hidden="1">'Bahan dan Menu'!$E$3</definedName>
    <definedName name="solver_lhs7" localSheetId="0" hidden="1">'Bahan dan Menu'!$G$8</definedName>
    <definedName name="solver_lhs8" localSheetId="0" hidden="1">'Bahan dan Menu'!$H$12</definedName>
    <definedName name="solver_lhs9" localSheetId="0" hidden="1">'Bahan dan Menu'!$G$8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so" localSheetId="0" hidden="1">10000</definedName>
    <definedName name="solver_ntr" localSheetId="0" hidden="1">0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10" localSheetId="0" hidden="1">4</definedName>
    <definedName name="solver_rel11" localSheetId="0" hidden="1">1</definedName>
    <definedName name="solver_rel2" localSheetId="0" hidden="1">1</definedName>
    <definedName name="solver_rel3" localSheetId="0" hidden="1">4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'Bahan dan Menu'!$E$7:$E$11</definedName>
    <definedName name="solver_rhs10" localSheetId="0" hidden="1">"integer"</definedName>
    <definedName name="solver_rhs11" localSheetId="0" hidden="1">20</definedName>
    <definedName name="solver_rhs2" localSheetId="0" hidden="1">'Bahan dan Menu'!$F$7:$F$11</definedName>
    <definedName name="solver_rhs3" localSheetId="0" hidden="1">"integer"</definedName>
    <definedName name="solver_rhs4" localSheetId="0" hidden="1">'Bahan dan Menu'!$B$2</definedName>
    <definedName name="solver_rhs5" localSheetId="0" hidden="1">'Bahan dan Menu'!$B$3</definedName>
    <definedName name="solver_rhs6" localSheetId="0" hidden="1">'Bahan dan Menu'!$B$4</definedName>
    <definedName name="solver_rhs7" localSheetId="0" hidden="1">"g9*20"</definedName>
    <definedName name="solver_rhs8" localSheetId="0" hidden="1">'Bahan dan Menu'!$B$2</definedName>
    <definedName name="solver_rhs9" localSheetId="0" hidden="1">"$G$9*20"</definedName>
    <definedName name="solver_rlx" localSheetId="0" hidden="1">2</definedName>
    <definedName name="solver_rsd" localSheetId="0" hidden="1">0</definedName>
    <definedName name="solver_rxv" localSheetId="0" hidden="1">1</definedName>
    <definedName name="solver_rxv1" localSheetId="0" hidden="1">1</definedName>
    <definedName name="solver_scl" localSheetId="0" hidden="1">2</definedName>
    <definedName name="solver_sho" localSheetId="0" hidden="1">2</definedName>
    <definedName name="solver_slvu" localSheetId="0" hidden="1">0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var" localSheetId="0" hidden="1">" "</definedName>
    <definedName name="solver_var1" localSheetId="0" hidden="1">" "</definedName>
    <definedName name="solver_ver" localSheetId="0" hidden="1">3</definedName>
    <definedName name="solver_vir" localSheetId="0" hidden="1">1</definedName>
    <definedName name="solver_vir1" localSheetId="0" hidden="1">1</definedName>
    <definedName name="solver_vst" localSheetId="0" hidden="1">0</definedName>
    <definedName name="solver_vst1" localSheetId="0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" i="1" l="1"/>
  <c r="H25" i="1"/>
  <c r="H21" i="1"/>
  <c r="D17" i="1"/>
  <c r="D16" i="1"/>
  <c r="E4" i="1"/>
  <c r="E3" i="1"/>
  <c r="E2" i="1"/>
  <c r="H11" i="1"/>
  <c r="H10" i="1"/>
  <c r="H9" i="1"/>
  <c r="H8" i="1"/>
  <c r="H7" i="1"/>
  <c r="E22" i="1" l="1"/>
  <c r="E24" i="1" s="1"/>
  <c r="F22" i="1"/>
  <c r="F24" i="1" s="1"/>
  <c r="G22" i="1"/>
  <c r="G24" i="1" s="1"/>
  <c r="C22" i="1"/>
  <c r="C24" i="1" s="1"/>
  <c r="D22" i="1"/>
  <c r="D24" i="1" s="1"/>
  <c r="B22" i="1"/>
  <c r="H12" i="1"/>
  <c r="B24" i="1" l="1"/>
  <c r="H24" i="1" s="1"/>
  <c r="H22" i="1"/>
  <c r="H16" i="1"/>
  <c r="H17" i="1" s="1"/>
  <c r="G16" i="1"/>
  <c r="F16" i="1"/>
</calcChain>
</file>

<file path=xl/sharedStrings.xml><?xml version="1.0" encoding="utf-8"?>
<sst xmlns="http://schemas.openxmlformats.org/spreadsheetml/2006/main" count="43" uniqueCount="38">
  <si>
    <t>Parameter</t>
  </si>
  <si>
    <t>Nilai</t>
  </si>
  <si>
    <t>Anggaran maksimum</t>
  </si>
  <si>
    <t>Target Protein =</t>
  </si>
  <si>
    <t>Target protein (gram)</t>
  </si>
  <si>
    <t>Target Serat =</t>
  </si>
  <si>
    <t>Target serat (gram)</t>
  </si>
  <si>
    <t>Bahan makanan</t>
  </si>
  <si>
    <t>Harga per unit (Rp)</t>
  </si>
  <si>
    <t>Protein (g)</t>
  </si>
  <si>
    <t>Serat (g)</t>
  </si>
  <si>
    <t>Minimum Pembelian (unit)</t>
  </si>
  <si>
    <t>Maksimum pembelian (unit)</t>
  </si>
  <si>
    <t>Jumlah Unit (Perencanaan)</t>
  </si>
  <si>
    <t>Biaya</t>
  </si>
  <si>
    <t>Telur</t>
  </si>
  <si>
    <t>Tempe</t>
  </si>
  <si>
    <t>Ayam</t>
  </si>
  <si>
    <t>Bayam</t>
  </si>
  <si>
    <t>Oat</t>
  </si>
  <si>
    <t>Kebutuhan Gizi Harian</t>
  </si>
  <si>
    <t>Demografi</t>
  </si>
  <si>
    <t>Protein (gram/kg berat)</t>
  </si>
  <si>
    <t>Serat (gram / hari)</t>
  </si>
  <si>
    <t xml:space="preserve">protein per hari </t>
  </si>
  <si>
    <t xml:space="preserve">serat per hari </t>
  </si>
  <si>
    <t xml:space="preserve">biaya per hari </t>
  </si>
  <si>
    <t>Minimum</t>
  </si>
  <si>
    <t>Maksimum</t>
  </si>
  <si>
    <t>Berat Badan Dewasa</t>
  </si>
  <si>
    <t>Bahan Makanan</t>
  </si>
  <si>
    <t>Senin</t>
  </si>
  <si>
    <t>Selasa</t>
  </si>
  <si>
    <t>Rabu</t>
  </si>
  <si>
    <t>Kamis</t>
  </si>
  <si>
    <t>Jumat</t>
  </si>
  <si>
    <t>Sabtu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</si>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</sst>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5" fontId="0" fillId="0" borderId="0" xfId="1" applyNumberFormat="1" applyFont="1"/>
    <xf numFmtId="165" fontId="0" fillId="0" borderId="0" xfId="1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3FCD4-2BDB-4F31-9EDB-3F89BC8D5F30}">
  <we:reference id="wa200000018" version="25.2.0.0" store="en-US" storeType="omex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F8FD-1B5F-4DFB-B0D6-65A870A03537}">
  <dimension ref="A1:H29"/>
  <sheetViews>
    <sheetView tabSelected="1" workbookViewId="0">
      <selection activeCell="F15" sqref="F15:H17"/>
    </sheetView>
  </sheetViews>
  <sheetFormatPr defaultRowHeight="14.45"/>
  <cols>
    <col min="1" max="1" width="21.85546875" customWidth="1"/>
    <col min="2" max="2" width="20" customWidth="1"/>
    <col min="3" max="3" width="16.7109375" customWidth="1"/>
    <col min="4" max="4" width="15.7109375" customWidth="1"/>
    <col min="5" max="5" width="21.7109375" customWidth="1"/>
    <col min="6" max="6" width="24.42578125" customWidth="1"/>
    <col min="7" max="7" width="23.28515625" customWidth="1"/>
    <col min="8" max="8" width="16.42578125" customWidth="1"/>
  </cols>
  <sheetData>
    <row r="1" spans="1:8">
      <c r="A1" s="1" t="s">
        <v>0</v>
      </c>
      <c r="B1" s="2" t="s">
        <v>1</v>
      </c>
    </row>
    <row r="2" spans="1:8">
      <c r="A2" s="3" t="s">
        <v>2</v>
      </c>
      <c r="B2" s="5">
        <v>2000000</v>
      </c>
      <c r="D2" t="s">
        <v>3</v>
      </c>
      <c r="E2">
        <f>SUMPRODUCT(G7:G11,C7:C11)</f>
        <v>2021</v>
      </c>
    </row>
    <row r="3" spans="1:8">
      <c r="A3" s="3" t="s">
        <v>4</v>
      </c>
      <c r="B3" s="5">
        <v>2000</v>
      </c>
      <c r="D3" t="s">
        <v>5</v>
      </c>
      <c r="E3">
        <f>SUMPRODUCT(G7:G11,D7:D11)</f>
        <v>500</v>
      </c>
    </row>
    <row r="4" spans="1:8">
      <c r="A4" s="3" t="s">
        <v>6</v>
      </c>
      <c r="B4" s="5">
        <v>500</v>
      </c>
      <c r="E4">
        <f>G8/G9</f>
        <v>20</v>
      </c>
    </row>
    <row r="5" spans="1:8">
      <c r="H5" s="4"/>
    </row>
    <row r="6" spans="1:8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>
      <c r="A7" t="s">
        <v>15</v>
      </c>
      <c r="B7" s="4">
        <v>30000</v>
      </c>
      <c r="C7">
        <v>36</v>
      </c>
      <c r="D7">
        <v>0</v>
      </c>
      <c r="E7">
        <v>5</v>
      </c>
      <c r="F7">
        <v>40</v>
      </c>
      <c r="G7">
        <v>26</v>
      </c>
      <c r="H7" s="4">
        <f>G7*B7</f>
        <v>780000</v>
      </c>
    </row>
    <row r="8" spans="1:8">
      <c r="A8" t="s">
        <v>16</v>
      </c>
      <c r="B8" s="4">
        <v>15000</v>
      </c>
      <c r="C8">
        <v>20</v>
      </c>
      <c r="D8">
        <v>8</v>
      </c>
      <c r="E8">
        <v>5</v>
      </c>
      <c r="F8">
        <v>40</v>
      </c>
      <c r="G8">
        <v>40</v>
      </c>
      <c r="H8" s="4">
        <f>G8*B8</f>
        <v>600000</v>
      </c>
    </row>
    <row r="9" spans="1:8">
      <c r="A9" t="s">
        <v>17</v>
      </c>
      <c r="B9" s="4">
        <v>40000</v>
      </c>
      <c r="C9">
        <v>31</v>
      </c>
      <c r="D9">
        <v>0</v>
      </c>
      <c r="E9">
        <v>1</v>
      </c>
      <c r="F9">
        <v>10</v>
      </c>
      <c r="G9">
        <v>2</v>
      </c>
      <c r="H9" s="4">
        <f>G9*B9</f>
        <v>80000</v>
      </c>
    </row>
    <row r="10" spans="1:8">
      <c r="A10" t="s">
        <v>18</v>
      </c>
      <c r="B10" s="4">
        <v>10000</v>
      </c>
      <c r="C10">
        <v>3</v>
      </c>
      <c r="D10">
        <v>4</v>
      </c>
      <c r="E10">
        <v>5</v>
      </c>
      <c r="F10">
        <v>30</v>
      </c>
      <c r="G10">
        <v>5</v>
      </c>
      <c r="H10" s="4">
        <f>G10*B10</f>
        <v>50000</v>
      </c>
    </row>
    <row r="11" spans="1:8">
      <c r="A11" t="s">
        <v>19</v>
      </c>
      <c r="B11" s="4">
        <v>25000</v>
      </c>
      <c r="C11">
        <v>13</v>
      </c>
      <c r="D11">
        <v>10</v>
      </c>
      <c r="E11">
        <v>5</v>
      </c>
      <c r="F11">
        <v>30</v>
      </c>
      <c r="G11">
        <v>16</v>
      </c>
      <c r="H11" s="4">
        <f>G11*B11</f>
        <v>400000</v>
      </c>
    </row>
    <row r="12" spans="1:8">
      <c r="H12" s="4">
        <f>SUM(H7:H11)</f>
        <v>1910000</v>
      </c>
    </row>
    <row r="14" spans="1:8">
      <c r="A14" s="7" t="s">
        <v>20</v>
      </c>
    </row>
    <row r="15" spans="1:8" ht="16.149999999999999" customHeight="1">
      <c r="A15" s="1" t="s">
        <v>21</v>
      </c>
      <c r="B15" s="1" t="s">
        <v>22</v>
      </c>
      <c r="C15" s="1" t="s">
        <v>23</v>
      </c>
      <c r="F15" s="8" t="s">
        <v>24</v>
      </c>
      <c r="G15" s="8" t="s">
        <v>25</v>
      </c>
      <c r="H15" s="8" t="s">
        <v>26</v>
      </c>
    </row>
    <row r="16" spans="1:8">
      <c r="A16" s="3" t="s">
        <v>27</v>
      </c>
      <c r="B16" s="3">
        <v>0.8</v>
      </c>
      <c r="C16">
        <v>25</v>
      </c>
      <c r="D16">
        <f>B16*$B$19</f>
        <v>48</v>
      </c>
      <c r="F16">
        <f>SUMPRODUCT(B21:B25,$C$7:$C$11)</f>
        <v>60</v>
      </c>
      <c r="G16">
        <f>SUMPRODUCT(B21:B25,$D$7:$D$11)</f>
        <v>25</v>
      </c>
      <c r="H16" s="9">
        <f>SUMPRODUCT(B21:B25,$B$7:$B$11)</f>
        <v>47767.857142857138</v>
      </c>
    </row>
    <row r="17" spans="1:8">
      <c r="A17" s="3" t="s">
        <v>28</v>
      </c>
      <c r="B17" s="3">
        <v>1</v>
      </c>
      <c r="C17">
        <v>30</v>
      </c>
      <c r="D17">
        <f>B17*$B$19</f>
        <v>60</v>
      </c>
      <c r="H17" s="9">
        <f>H16*6</f>
        <v>286607.14285714284</v>
      </c>
    </row>
    <row r="18" spans="1:8">
      <c r="A18" s="3"/>
      <c r="B18" s="3"/>
    </row>
    <row r="19" spans="1:8">
      <c r="A19" s="3" t="s">
        <v>29</v>
      </c>
      <c r="B19" s="3">
        <v>60</v>
      </c>
    </row>
    <row r="20" spans="1:8">
      <c r="A20" s="6" t="s">
        <v>30</v>
      </c>
      <c r="B20" s="6" t="s">
        <v>31</v>
      </c>
      <c r="C20" s="7" t="s">
        <v>32</v>
      </c>
      <c r="D20" s="7" t="s">
        <v>33</v>
      </c>
      <c r="E20" s="7" t="s">
        <v>34</v>
      </c>
      <c r="F20" s="7" t="s">
        <v>35</v>
      </c>
      <c r="G20" s="7" t="s">
        <v>36</v>
      </c>
      <c r="H20" t="s">
        <v>37</v>
      </c>
    </row>
    <row r="21" spans="1:8" ht="15">
      <c r="A21" t="s">
        <v>15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>
        <f>SUM(B21:G21)</f>
        <v>0</v>
      </c>
    </row>
    <row r="22" spans="1:8" ht="15">
      <c r="A22" t="s">
        <v>16</v>
      </c>
      <c r="B22" s="3">
        <f>($D$17*$D$10-$C$10*$C$16)/($C$8*$D$10-$C$10*$D$8)</f>
        <v>2.9464285714285716</v>
      </c>
      <c r="C22" s="3">
        <f t="shared" ref="C21:G22" si="0">($D$17*$D$10-$C$10*$C$16)/($C$8*$D$10-$C$10*$D$8)</f>
        <v>2.9464285714285716</v>
      </c>
      <c r="D22" s="3">
        <f t="shared" si="0"/>
        <v>2.9464285714285716</v>
      </c>
      <c r="E22" s="3">
        <f t="shared" si="0"/>
        <v>2.9464285714285716</v>
      </c>
      <c r="F22" s="3">
        <f t="shared" si="0"/>
        <v>2.9464285714285716</v>
      </c>
      <c r="G22" s="3">
        <f t="shared" si="0"/>
        <v>2.9464285714285716</v>
      </c>
      <c r="H22">
        <f t="shared" ref="H22:H25" si="1">SUM(B22:G22)</f>
        <v>17.678571428571431</v>
      </c>
    </row>
    <row r="23" spans="1:8" ht="15">
      <c r="A23" t="s">
        <v>17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>
        <f t="shared" si="1"/>
        <v>0</v>
      </c>
    </row>
    <row r="24" spans="1:8" ht="15">
      <c r="A24" t="s">
        <v>18</v>
      </c>
      <c r="B24" s="3">
        <f>($C$16-$D$8*B22)/$D$10</f>
        <v>0.35714285714285676</v>
      </c>
      <c r="C24" s="3">
        <f t="shared" ref="C24:G24" si="2">($C$16-$D$8*C22)/$D$10</f>
        <v>0.35714285714285676</v>
      </c>
      <c r="D24" s="3">
        <f t="shared" si="2"/>
        <v>0.35714285714285676</v>
      </c>
      <c r="E24" s="3">
        <f t="shared" si="2"/>
        <v>0.35714285714285676</v>
      </c>
      <c r="F24" s="3">
        <f t="shared" si="2"/>
        <v>0.35714285714285676</v>
      </c>
      <c r="G24" s="3">
        <f t="shared" si="2"/>
        <v>0.35714285714285676</v>
      </c>
      <c r="H24">
        <f t="shared" si="1"/>
        <v>2.1428571428571406</v>
      </c>
    </row>
    <row r="25" spans="1:8" ht="15">
      <c r="A25" t="s">
        <v>19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>
        <f t="shared" si="1"/>
        <v>0</v>
      </c>
    </row>
    <row r="27" spans="1:8" ht="15"/>
    <row r="28" spans="1:8" ht="15"/>
    <row r="29" spans="1:8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2026-10-10T00:29:10Z</dcterms:created>
  <dcterms:modified xsi:type="dcterms:W3CDTF">2026-10-12T03:50:33Z</dcterms:modified>
  <cp:category/>
  <cp:contentStatus/>
</cp:coreProperties>
</file>